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<sst xmlns="http://schemas.openxmlformats.org/spreadsheetml/2006/main" count="22" uniqueCount="20">
  <si>
    <t xml:space="preserve">R(load)</t>
  </si>
  <si>
    <t xml:space="preserve">Target R(in)</t>
  </si>
  <si>
    <t xml:space="preserve">P(in)</t>
  </si>
  <si>
    <t xml:space="preserve">R(ser) – 4 x 5W resistors in parallel</t>
  </si>
  <si>
    <t xml:space="preserve">R(par) – 2 x 5W resistors in parallel</t>
  </si>
  <si>
    <t xml:space="preserve">Attenuation</t>
  </si>
  <si>
    <t xml:space="preserve">R(ser,ideal)</t>
  </si>
  <si>
    <t xml:space="preserve">R(par,ideal)</t>
  </si>
  <si>
    <t xml:space="preserve">P(ser,ideal)</t>
  </si>
  <si>
    <t xml:space="preserve">P(par,ideal)</t>
  </si>
  <si>
    <t xml:space="preserve">R(ser1)</t>
  </si>
  <si>
    <t xml:space="preserve">R(ser2)</t>
  </si>
  <si>
    <t xml:space="preserve">R(ser3)</t>
  </si>
  <si>
    <t xml:space="preserve">R(ser4)</t>
  </si>
  <si>
    <t xml:space="preserve">R(ser,actual)</t>
  </si>
  <si>
    <t xml:space="preserve">error</t>
  </si>
  <si>
    <t xml:space="preserve">P(R,hottest)</t>
  </si>
  <si>
    <t xml:space="preserve">R(par1)</t>
  </si>
  <si>
    <t xml:space="preserve">R(par2)</t>
  </si>
  <si>
    <t xml:space="preserve">R(par,actual)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</si>
</sst>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-* #,##0.00_-;\-* #,##0.00_-;_-* \-??_-;_-@_-"/>
    <numFmt numFmtId="166" formatCode="_-* #,##0_-;\-* #,##0_-;_-* \-_-;_-@_-"/>
    <numFmt numFmtId="167" formatCode="_-\£* #,##0.00_-;&quot;-£&quot;* #,##0.00_-;_-\£* \-??_-;_-@_-"/>
    <numFmt numFmtId="168" formatCode="_-\£* #,##0_-;&quot;-£&quot;* #,##0_-;_-\£* \-_-;_-@_-"/>
    <numFmt numFmtId="169" formatCode="0%"/>
    <numFmt numFmtId="170" formatCode="0&quot; Ω&quot;"/>
    <numFmt numFmtId="171" formatCode="0&quot; W&quot;"/>
    <numFmt numFmtId="172" formatCode="0&quot; dB&quot;"/>
    <numFmt numFmtId="173" formatCode="0.00&quot; Ω&quot;"/>
    <numFmt numFmtId="174" formatCode="0.0&quot; W&quot;"/>
    <numFmt numFmtId="175" formatCode="0.0&quot; Ω&quot;"/>
    <numFmt numFmtId="176" formatCode="0.0%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2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6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5" fillId="0" borderId="0" xfId="24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7" activeCellId="0" sqref="Q7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4" min="4" style="0" width="8.46"/>
    <col collapsed="false" customWidth="true" hidden="false" outlineLevel="0" max="7" min="7" style="0" width="8.46"/>
    <col collapsed="false" customWidth="true" hidden="false" outlineLevel="0" max="16384" min="16383" style="0" width="11.53"/>
  </cols>
  <sheetData>
    <row r="1" customFormat="false" ht="15.75" hidden="false" customHeight="false" outlineLevel="0" collapsed="false">
      <c r="A1" s="1" t="s">
        <v>0</v>
      </c>
      <c r="B1" s="2" t="n">
        <v>4</v>
      </c>
      <c r="E1" s="1"/>
      <c r="F1" s="3"/>
    </row>
    <row r="2" customFormat="false" ht="15.75" hidden="false" customHeight="false" outlineLevel="0" collapsed="false">
      <c r="A2" s="1" t="s">
        <v>1</v>
      </c>
      <c r="B2" s="2" t="n">
        <v>4</v>
      </c>
      <c r="E2" s="1"/>
      <c r="F2" s="3"/>
    </row>
    <row r="3" customFormat="false" ht="15.75" hidden="false" customHeight="false" outlineLevel="0" collapsed="false">
      <c r="A3" s="1" t="s">
        <v>2</v>
      </c>
      <c r="B3" s="3" t="n">
        <v>20</v>
      </c>
    </row>
    <row r="5" customFormat="false" ht="15.75" hidden="false" customHeight="false" outlineLevel="0" collapsed="false">
      <c r="H5" s="4" t="s">
        <v>3</v>
      </c>
      <c r="I5" s="4"/>
      <c r="J5" s="4"/>
      <c r="K5" s="4"/>
      <c r="L5" s="4"/>
      <c r="M5" s="4"/>
      <c r="N5" s="4"/>
      <c r="P5" s="5" t="s">
        <v>4</v>
      </c>
      <c r="Q5" s="5"/>
      <c r="R5" s="5"/>
      <c r="S5" s="5"/>
      <c r="T5" s="5"/>
    </row>
    <row r="6" customFormat="false" ht="15.75" hidden="false" customHeight="false" outlineLevel="0" collapsed="false">
      <c r="A6" s="6" t="s">
        <v>5</v>
      </c>
      <c r="B6" s="6" t="s">
        <v>6</v>
      </c>
      <c r="C6" s="6" t="s">
        <v>7</v>
      </c>
      <c r="D6" s="7"/>
      <c r="E6" s="6" t="s">
        <v>8</v>
      </c>
      <c r="F6" s="6" t="s">
        <v>9</v>
      </c>
      <c r="H6" s="6" t="s">
        <v>10</v>
      </c>
      <c r="I6" s="6" t="s">
        <v>11</v>
      </c>
      <c r="J6" s="6" t="s">
        <v>12</v>
      </c>
      <c r="K6" s="6" t="s">
        <v>13</v>
      </c>
      <c r="L6" s="6" t="s">
        <v>14</v>
      </c>
      <c r="M6" s="6" t="s">
        <v>15</v>
      </c>
      <c r="N6" s="8" t="s">
        <v>16</v>
      </c>
      <c r="O6" s="8"/>
      <c r="P6" s="6" t="s">
        <v>17</v>
      </c>
      <c r="Q6" s="6" t="s">
        <v>18</v>
      </c>
      <c r="R6" s="6" t="s">
        <v>19</v>
      </c>
      <c r="S6" s="6" t="s">
        <v>15</v>
      </c>
      <c r="T6" s="8" t="s">
        <v>16</v>
      </c>
    </row>
    <row r="7" customFormat="false" ht="15.75" hidden="false" customHeight="false" outlineLevel="0" collapsed="false">
      <c r="A7" s="9" t="n">
        <v>3</v>
      </c>
      <c r="B7" s="10" t="n">
        <f aca="false">$B$2 * (1 - POWER(10, -A7/20))</f>
        <v>1.16821686246345</v>
      </c>
      <c r="C7" s="10" t="n">
        <f aca="false">POWER(10, -A7/20) * $B$2 * $B$1 / ($B$1 - ((POWER(10, -A7 / 20) * $B$2)))</f>
        <v>9.69608718561072</v>
      </c>
      <c r="E7" s="11" t="n">
        <f aca="false">$B$3 * (1 - POWER(10, -A7/20))</f>
        <v>5.84108431231724</v>
      </c>
      <c r="F7" s="11" t="n">
        <f aca="false">$B$3 * POWER(10, -A7/20) * (1 - POWER(10, -A7/20))</f>
        <v>4.13517101513731</v>
      </c>
      <c r="H7" s="12" t="n">
        <v>4.7</v>
      </c>
      <c r="I7" s="12" t="n">
        <v>4.7</v>
      </c>
      <c r="J7" s="12" t="n">
        <v>4.7</v>
      </c>
      <c r="K7" s="12" t="n">
        <v>4.7</v>
      </c>
      <c r="L7" s="13" t="n">
        <f aca="false">1/((1/H7) + (1/I7) + (1/J7) + (1/K7) )</f>
        <v>1.175</v>
      </c>
      <c r="M7" s="14" t="n">
        <f aca="false">L7/B7 - 1</f>
        <v>0.00580640269328758</v>
      </c>
      <c r="N7" s="15" t="n">
        <f aca="false">($B$3/(L7+1/(1/R7+1/$B$1)))*POWER(L7,2)/MIN(H7:K7)</f>
        <v>1.46001877262772</v>
      </c>
      <c r="O7" s="15"/>
      <c r="P7" s="2" t="n">
        <v>22</v>
      </c>
      <c r="Q7" s="16" t="n">
        <v>18</v>
      </c>
      <c r="R7" s="13" t="n">
        <f aca="false">1/((1/P7) + (1/Q7))</f>
        <v>9.9</v>
      </c>
      <c r="S7" s="14" t="n">
        <f aca="false">R7/C7 - 1</f>
        <v>0.021030422941317</v>
      </c>
      <c r="T7" s="15" t="n">
        <f aca="false">($B$3/(L7+1/(1/R7+1/$B$1)))*POWER(1/(1/R7+1/$B$1),2)/MIN(P7:Q7)</f>
        <v>2.24113919430763</v>
      </c>
    </row>
    <row r="8" customFormat="false" ht="15.75" hidden="false" customHeight="false" outlineLevel="0" collapsed="false">
      <c r="A8" s="9" t="n">
        <v>4</v>
      </c>
      <c r="B8" s="10" t="n">
        <f aca="false">$B$2 * (1 - POWER(10, -A8/20))</f>
        <v>1.47617062207923</v>
      </c>
      <c r="C8" s="10" t="n">
        <f aca="false">POWER(10, -A8/20) * $B$2 * $B$1 / ($B$1 - ((POWER(10, -A8 / 20) * $B$2)))</f>
        <v>6.83885545524782</v>
      </c>
      <c r="E8" s="11" t="n">
        <f aca="false">$B$3 * (1 - POWER(10, -A8/20))</f>
        <v>7.38085311039614</v>
      </c>
      <c r="F8" s="11" t="n">
        <f aca="false">$B$3 * POWER(10, -A8/20) * (1 - POWER(10, -A8/20))</f>
        <v>4.65700347853392</v>
      </c>
      <c r="H8" s="12" t="n">
        <v>5.6</v>
      </c>
      <c r="I8" s="12" t="n">
        <v>5.6</v>
      </c>
      <c r="J8" s="12" t="n">
        <v>5.6</v>
      </c>
      <c r="K8" s="12" t="n">
        <v>6.8</v>
      </c>
      <c r="L8" s="13" t="n">
        <f aca="false">1/((1/H8) + (1/I8) + (1/J8) + (1/K8) )</f>
        <v>1.46461538461538</v>
      </c>
      <c r="M8" s="14" t="n">
        <f aca="false">L8/B8 - 1</f>
        <v>-0.00782784678885318</v>
      </c>
      <c r="N8" s="15" t="n">
        <f aca="false">($B$3/(L8+1/(1/R8+1/$B$1)))*POWER(L8,2)/MIN(H8:K8)</f>
        <v>1.9127166223695</v>
      </c>
      <c r="O8" s="15"/>
      <c r="P8" s="16" t="n">
        <v>15</v>
      </c>
      <c r="Q8" s="16" t="n">
        <v>13</v>
      </c>
      <c r="R8" s="13" t="n">
        <f aca="false">1/((1/P8) + (1/Q8))</f>
        <v>6.96428571428571</v>
      </c>
      <c r="S8" s="14" t="n">
        <f aca="false">R8/C8 - 1</f>
        <v>0.0183408261599745</v>
      </c>
      <c r="T8" s="15" t="n">
        <f aca="false">($B$3/(L8+1/(1/R8+1/$B$1)))*POWER(1/(1/R8+1/$B$1),2)/MIN(P8:Q8)</f>
        <v>2.47947981850143</v>
      </c>
    </row>
    <row r="9" customFormat="false" ht="15.75" hidden="false" customHeight="false" outlineLevel="0" collapsed="false">
      <c r="A9" s="9" t="n">
        <v>5</v>
      </c>
      <c r="B9" s="10" t="n">
        <f aca="false">$B$2 * (1 - POWER(10, -A9/20))</f>
        <v>1.7506346992386</v>
      </c>
      <c r="C9" s="10" t="n">
        <f aca="false">POWER(10, -A9/20) * $B$2 * $B$1 / ($B$1 - ((POWER(10, -A9 / 20) * $B$2)))</f>
        <v>5.13954236538257</v>
      </c>
      <c r="E9" s="11" t="n">
        <f aca="false">$B$3 * (1 - POWER(10, -A9/20))</f>
        <v>8.75317349619302</v>
      </c>
      <c r="F9" s="11" t="n">
        <f aca="false">$B$3 * POWER(10, -A9/20) * (1 - POWER(10, -A9/20))</f>
        <v>4.92227118347022</v>
      </c>
      <c r="H9" s="12" t="n">
        <v>6.8</v>
      </c>
      <c r="I9" s="12" t="n">
        <v>6.8</v>
      </c>
      <c r="J9" s="12" t="n">
        <v>6.8</v>
      </c>
      <c r="K9" s="12" t="n">
        <v>7.5</v>
      </c>
      <c r="L9" s="13" t="n">
        <f aca="false">1/((1/H9) + (1/I9) + (1/J9) + (1/K9) )</f>
        <v>1.74061433447099</v>
      </c>
      <c r="M9" s="14" t="n">
        <f aca="false">L9/B9 - 1</f>
        <v>-0.00572384676938709</v>
      </c>
      <c r="N9" s="15" t="n">
        <f aca="false">($B$3/(L9+1/(1/R9+1/$B$1)))*POWER(L9,2)/MIN(H9:K9)</f>
        <v>2.22293852071912</v>
      </c>
      <c r="O9" s="15"/>
      <c r="P9" s="16" t="n">
        <v>10</v>
      </c>
      <c r="Q9" s="16" t="n">
        <v>11</v>
      </c>
      <c r="R9" s="13" t="n">
        <f aca="false">1/((1/P9) + (1/Q9))</f>
        <v>5.23809523809524</v>
      </c>
      <c r="S9" s="14" t="n">
        <f aca="false">R9/C9 - 1</f>
        <v>0.0191754179081132</v>
      </c>
      <c r="T9" s="15" t="n">
        <f aca="false">($B$3/(L9+1/(1/R9+1/$B$1)))*POWER(1/(1/R9+1/$B$1),2)/MIN(P9:Q9)</f>
        <v>2.56645199937382</v>
      </c>
    </row>
    <row r="10" customFormat="false" ht="15.75" hidden="false" customHeight="false" outlineLevel="0" collapsed="false">
      <c r="A10" s="9" t="n">
        <v>6</v>
      </c>
      <c r="B10" s="10" t="n">
        <f aca="false">$B$2 * (1 - POWER(10, -A10/20))</f>
        <v>1.99525106549091</v>
      </c>
      <c r="C10" s="10" t="n">
        <f aca="false">POWER(10, -A10/20) * $B$2 * $B$1 / ($B$1 - ((POWER(10, -A10 / 20) * $B$2)))</f>
        <v>4.01904095014898</v>
      </c>
      <c r="E10" s="11" t="n">
        <f aca="false">$B$3 * (1 - POWER(10, -A10/20))</f>
        <v>9.97625532745456</v>
      </c>
      <c r="F10" s="11" t="n">
        <f aca="false">$B$3 * POWER(10, -A10/20) * (1 - POWER(10, -A10/20))</f>
        <v>4.99997180952629</v>
      </c>
      <c r="H10" s="12" t="n">
        <v>7.5</v>
      </c>
      <c r="I10" s="12" t="n">
        <v>8.2</v>
      </c>
      <c r="J10" s="12" t="n">
        <v>8.2</v>
      </c>
      <c r="K10" s="12" t="n">
        <v>8.2</v>
      </c>
      <c r="L10" s="13" t="n">
        <f aca="false">1/((1/H10) + (1/I10) + (1/J10) + (1/K10) )</f>
        <v>2.00325732899023</v>
      </c>
      <c r="M10" s="14" t="n">
        <f aca="false">L10/B10 - 1</f>
        <v>0.00401265967866915</v>
      </c>
      <c r="N10" s="15" t="n">
        <f aca="false">($B$3/(L10+1/(1/R10+1/$B$1)))*POWER(L10,2)/MIN(H10:K10)</f>
        <v>2.65679645760472</v>
      </c>
      <c r="O10" s="15"/>
      <c r="P10" s="12" t="n">
        <v>8.2</v>
      </c>
      <c r="Q10" s="12" t="n">
        <v>8.2</v>
      </c>
      <c r="R10" s="13" t="n">
        <f aca="false">1/((1/P10) + (1/Q10))</f>
        <v>4.1</v>
      </c>
      <c r="S10" s="14" t="n">
        <f aca="false">R10/C10 - 1</f>
        <v>0.0201438728431016</v>
      </c>
      <c r="T10" s="15" t="n">
        <f aca="false">($B$3/(L10+1/(1/R10+1/$B$1)))*POWER(1/(1/R10+1/$B$1),2)/MIN(P10:Q10)</f>
        <v>2.48227487960057</v>
      </c>
    </row>
    <row r="11" customFormat="false" ht="15.75" hidden="false" customHeight="false" outlineLevel="0" collapsed="false">
      <c r="A11" s="9" t="n">
        <v>7</v>
      </c>
      <c r="B11" s="10" t="n">
        <f aca="false">$B$2 * (1 - POWER(10, -A11/20))</f>
        <v>2.21326563139615</v>
      </c>
      <c r="C11" s="10" t="n">
        <f aca="false">POWER(10, -A11/20) * $B$2 * $B$1 / ($B$1 - ((POWER(10, -A11 / 20) * $B$2)))</f>
        <v>3.2291367891106</v>
      </c>
      <c r="E11" s="11" t="n">
        <f aca="false">$B$3 * (1 - POWER(10, -A11/20))</f>
        <v>11.0663281569807</v>
      </c>
      <c r="F11" s="11" t="n">
        <f aca="false">$B$3 * POWER(10, -A11/20) * (1 - POWER(10, -A11/20))</f>
        <v>4.9431472130815</v>
      </c>
      <c r="H11" s="12" t="n">
        <v>8.2</v>
      </c>
      <c r="I11" s="12" t="n">
        <v>9.1</v>
      </c>
      <c r="J11" s="12" t="n">
        <v>9.1</v>
      </c>
      <c r="K11" s="12" t="n">
        <v>9.1</v>
      </c>
      <c r="L11" s="13" t="n">
        <f aca="false">1/((1/H11) + (1/I11) + (1/J11) + (1/K11) )</f>
        <v>2.21424332344214</v>
      </c>
      <c r="M11" s="14" t="n">
        <f aca="false">L11/B11 - 1</f>
        <v>0.000441741846129773</v>
      </c>
      <c r="N11" s="15" t="n">
        <f aca="false">($B$3/(L11+1/(1/R11+1/$B$1)))*POWER(L11,2)/MIN(H11:K11)</f>
        <v>2.99411979316688</v>
      </c>
      <c r="O11" s="15"/>
      <c r="P11" s="12" t="n">
        <v>7.5</v>
      </c>
      <c r="Q11" s="12" t="n">
        <v>5.6</v>
      </c>
      <c r="R11" s="13" t="n">
        <f aca="false">1/((1/P11) + (1/Q11))</f>
        <v>3.20610687022901</v>
      </c>
      <c r="S11" s="14" t="n">
        <f aca="false">R11/C11 - 1</f>
        <v>-0.00713191183453699</v>
      </c>
      <c r="T11" s="15" t="n">
        <f aca="false">($B$3/(L11+1/(1/R11+1/$B$1)))*POWER(1/(1/R11+1/$B$1),2)/MIN(P11:Q11)</f>
        <v>2.83216717394799</v>
      </c>
    </row>
    <row r="12" customFormat="false" ht="15.75" hidden="false" customHeight="false" outlineLevel="0" collapsed="false">
      <c r="A12" s="9" t="n">
        <v>8</v>
      </c>
      <c r="B12" s="10" t="n">
        <f aca="false">$B$2 * (1 - POWER(10, -A12/20))</f>
        <v>2.40757131778601</v>
      </c>
      <c r="C12" s="10" t="n">
        <f aca="false">POWER(10, -A12/20) * $B$2 * $B$1 / ($B$1 - ((POWER(10, -A12 / 20) * $B$2)))</f>
        <v>2.6457013679302</v>
      </c>
      <c r="E12" s="11" t="n">
        <f aca="false">$B$3 * (1 - POWER(10, -A12/20))</f>
        <v>12.0378565889301</v>
      </c>
      <c r="F12" s="11" t="n">
        <f aca="false">$B$3 * POWER(10, -A12/20) * (1 - POWER(10, -A12/20))</f>
        <v>4.79235702614772</v>
      </c>
      <c r="H12" s="12" t="n">
        <v>9.1</v>
      </c>
      <c r="I12" s="12" t="n">
        <v>9.1</v>
      </c>
      <c r="J12" s="16" t="n">
        <v>10</v>
      </c>
      <c r="K12" s="16" t="n">
        <v>11</v>
      </c>
      <c r="L12" s="13" t="n">
        <f aca="false">1/((1/H12) + (1/I12) + (1/J12) + (1/K12) )</f>
        <v>2.43493067380199</v>
      </c>
      <c r="M12" s="14" t="n">
        <f aca="false">L12/B12 - 1</f>
        <v>0.0113638818563193</v>
      </c>
      <c r="N12" s="15" t="n">
        <f aca="false">($B$3/(L12+1/(1/R12+1/$B$1)))*POWER(L12,2)/MIN(H12:K12)</f>
        <v>3.22871124091352</v>
      </c>
      <c r="O12" s="15"/>
      <c r="P12" s="12" t="n">
        <v>5.1</v>
      </c>
      <c r="Q12" s="12" t="n">
        <v>5.6</v>
      </c>
      <c r="R12" s="13" t="n">
        <f aca="false">1/((1/P12) + (1/Q12))</f>
        <v>2.66915887850467</v>
      </c>
      <c r="S12" s="14" t="n">
        <f aca="false">R12/C12 - 1</f>
        <v>0.00886627298863596</v>
      </c>
      <c r="T12" s="15" t="n">
        <f aca="false">($B$3/(L12+1/(1/R12+1/$B$1)))*POWER(1/(1/R12+1/$B$1),2)/MIN(P12:Q12)</f>
        <v>2.4903129482361</v>
      </c>
    </row>
    <row r="13" customFormat="false" ht="15.75" hidden="false" customHeight="false" outlineLevel="0" collapsed="false">
      <c r="A13" s="9" t="n">
        <v>9</v>
      </c>
      <c r="B13" s="10" t="n">
        <f aca="false">$B$2 * (1 - POWER(10, -A13/20))</f>
        <v>2.5807464430657</v>
      </c>
      <c r="C13" s="10" t="n">
        <f aca="false">POWER(10, -A13/20) * $B$2 * $B$1 / ($B$1 - ((POWER(10, -A13 / 20) * $B$2)))</f>
        <v>2.19975668008416</v>
      </c>
      <c r="E13" s="11" t="n">
        <f aca="false">$B$3 * (1 - POWER(10, -A13/20))</f>
        <v>12.9037322153285</v>
      </c>
      <c r="F13" s="11" t="n">
        <f aca="false">$B$3 * POWER(10, -A13/20) * (1 - POWER(10, -A13/20))</f>
        <v>4.57841696108318</v>
      </c>
      <c r="H13" s="16" t="n">
        <v>10</v>
      </c>
      <c r="I13" s="16" t="n">
        <v>10</v>
      </c>
      <c r="J13" s="16" t="n">
        <v>10</v>
      </c>
      <c r="K13" s="16" t="n">
        <v>11</v>
      </c>
      <c r="L13" s="13" t="n">
        <f aca="false">1/((1/H13) + (1/I13) + (1/J13) + (1/K13) )</f>
        <v>2.55813953488372</v>
      </c>
      <c r="M13" s="14" t="n">
        <f aca="false">L13/B13 - 1</f>
        <v>-0.00875983312607909</v>
      </c>
      <c r="N13" s="15" t="n">
        <f aca="false">($B$3/(L13+1/(1/R13+1/$B$1)))*POWER(L13,2)/MIN(H13:K13)</f>
        <v>3.2935541881262</v>
      </c>
      <c r="O13" s="15"/>
      <c r="P13" s="12" t="n">
        <v>5.6</v>
      </c>
      <c r="Q13" s="12" t="n">
        <v>3.6</v>
      </c>
      <c r="R13" s="13" t="n">
        <f aca="false">1/((1/P13) + (1/Q13))</f>
        <v>2.19130434782609</v>
      </c>
      <c r="S13" s="14" t="n">
        <f aca="false">R13/C13 - 1</f>
        <v>-0.00384239417686449</v>
      </c>
      <c r="T13" s="15" t="n">
        <f aca="false">($B$3/(L13+1/(1/R13+1/$B$1)))*POWER(1/(1/R13+1/$B$1),2)/MIN(P13:Q13)</f>
        <v>2.80204386810017</v>
      </c>
    </row>
    <row r="14" customFormat="false" ht="15.75" hidden="false" customHeight="false" outlineLevel="0" collapsed="false">
      <c r="A14" s="9" t="n">
        <v>10</v>
      </c>
      <c r="B14" s="10" t="n">
        <f aca="false">$B$2 * (1 - POWER(10, -A14/20))</f>
        <v>2.73508893593265</v>
      </c>
      <c r="C14" s="10" t="n">
        <f aca="false">POWER(10, -A14/20) * $B$2 * $B$1 / ($B$1 - ((POWER(10, -A14 / 20) * $B$2)))</f>
        <v>1.84990118229706</v>
      </c>
      <c r="E14" s="11" t="n">
        <f aca="false">$B$3 * (1 - POWER(10, -A14/20))</f>
        <v>13.6754446796632</v>
      </c>
      <c r="F14" s="11" t="n">
        <f aca="false">$B$3 * POWER(10, -A14/20) * (1 - POWER(10, -A14/20))</f>
        <v>4.32455532033676</v>
      </c>
      <c r="H14" s="16" t="n">
        <v>11</v>
      </c>
      <c r="I14" s="16" t="n">
        <v>11</v>
      </c>
      <c r="J14" s="16" t="n">
        <v>11</v>
      </c>
      <c r="K14" s="16" t="n">
        <v>11</v>
      </c>
      <c r="L14" s="13" t="n">
        <f aca="false">1/((1/H14) + (1/I14) + (1/J14) + (1/K14) )</f>
        <v>2.75</v>
      </c>
      <c r="M14" s="14" t="n">
        <f aca="false">L14/B14 - 1</f>
        <v>0.00545176570730677</v>
      </c>
      <c r="N14" s="15" t="n">
        <f aca="false">($B$3/(L14+1/(1/R14+1/$B$1)))*POWER(L14,2)/MIN(H14:K14)</f>
        <v>3.44492440604752</v>
      </c>
      <c r="O14" s="15"/>
      <c r="P14" s="12" t="n">
        <v>3.6</v>
      </c>
      <c r="Q14" s="12" t="n">
        <v>3.6</v>
      </c>
      <c r="R14" s="13" t="n">
        <f aca="false">1/((1/P14) + (1/Q14))</f>
        <v>1.8</v>
      </c>
      <c r="S14" s="14" t="n">
        <f aca="false">R14/C14 - 1</f>
        <v>-0.0269750529242295</v>
      </c>
      <c r="T14" s="15" t="n">
        <f aca="false">($B$3/(L14+1/(1/R14+1/$B$1)))*POWER(1/(1/R14+1/$B$1),2)/MIN(P14:Q14)</f>
        <v>2.14493185372756</v>
      </c>
    </row>
  </sheetData>
  <mergeCells count="2">
    <mergeCell ref="H5:N5"/>
    <mergeCell ref="P5:T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2026-08-04T08:16:17Z</dcterms:modified>
  <cp:revision>9</cp:revision>
  <dc:subject/>
  <dc:title/>
</cp:coreProperties>
</file>